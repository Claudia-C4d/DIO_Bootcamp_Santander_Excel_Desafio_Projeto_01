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55119\Documents\Curso Python\Bootcamp Santander Excel\"/>
    </mc:Choice>
  </mc:AlternateContent>
  <xr:revisionPtr revIDLastSave="0" documentId="13_ncr:1_{A9425C2F-2C1E-493E-BC97-123F384D437A}" xr6:coauthVersionLast="47" xr6:coauthVersionMax="47" xr10:uidLastSave="{00000000-0000-0000-0000-000000000000}"/>
  <bookViews>
    <workbookView xWindow="-120" yWindow="-120" windowWidth="29040" windowHeight="15840" tabRatio="441" xr2:uid="{0985E31A-67D7-44EE-B06F-B9CF60C4454D}"/>
  </bookViews>
  <sheets>
    <sheet name="Planilha1" sheetId="1" r:id="rId1"/>
    <sheet name="Planilha2" sheetId="2" r:id="rId2"/>
  </sheets>
  <definedNames>
    <definedName name="aporte">Planilha1!$E$19</definedName>
    <definedName name="patrimonio_acumulado">Planilha1!$E$22</definedName>
    <definedName name="qtde_anos">Planilha1!$E$20</definedName>
    <definedName name="rendimento_carteira">Planilha1!$E$15</definedName>
    <definedName name="salario">Planilha1!$E$14</definedName>
    <definedName name="sugestao_investimento">Planilha1!$E$16</definedName>
    <definedName name="taxa_mensal">Planilha1!$E$21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6" i="1" l="1"/>
  <c r="D37" i="1"/>
  <c r="D38" i="1"/>
  <c r="D39" i="1"/>
  <c r="D40" i="1"/>
  <c r="D41" i="1"/>
  <c r="D36" i="1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5" i="2"/>
  <c r="D33" i="1"/>
  <c r="E22" i="1"/>
  <c r="E23" i="1" s="1"/>
  <c r="D30" i="1"/>
  <c r="E30" i="1" s="1"/>
  <c r="D29" i="1"/>
  <c r="E29" i="1" s="1"/>
  <c r="D28" i="1"/>
  <c r="E28" i="1" s="1"/>
  <c r="D27" i="1"/>
  <c r="E27" i="1" s="1"/>
  <c r="D26" i="1"/>
  <c r="E26" i="1" s="1"/>
  <c r="E40" i="1" l="1"/>
  <c r="E39" i="1"/>
  <c r="E36" i="1"/>
  <c r="E38" i="1"/>
  <c r="E41" i="1"/>
  <c r="E37" i="1"/>
  <c r="E42" i="1" l="1"/>
</calcChain>
</file>

<file path=xl/sharedStrings.xml><?xml version="1.0" encoding="utf-8"?>
<sst xmlns="http://schemas.openxmlformats.org/spreadsheetml/2006/main" count="74" uniqueCount="38">
  <si>
    <t>Quanto investir por mês?</t>
  </si>
  <si>
    <t>Por quantos anos?</t>
  </si>
  <si>
    <t>Taxa de Rendimento Mensal?</t>
  </si>
  <si>
    <t>Dividendos mensais</t>
  </si>
  <si>
    <t xml:space="preserve">  </t>
  </si>
  <si>
    <t xml:space="preserve">  INVESTIMENTO MENSAL</t>
  </si>
  <si>
    <t xml:space="preserve">  CENÁRIOS</t>
  </si>
  <si>
    <t>Quanto em 02 anos?</t>
  </si>
  <si>
    <t>Quanto em 05 anos?</t>
  </si>
  <si>
    <t>Quanto em 10 anos?</t>
  </si>
  <si>
    <t>Quanto em 20 anos?</t>
  </si>
  <si>
    <t>Quanto em 30 anos?</t>
  </si>
  <si>
    <t xml:space="preserve">  DIVIDENDOS</t>
  </si>
  <si>
    <t>CONFIGURAÇÕES</t>
  </si>
  <si>
    <t>Salário</t>
  </si>
  <si>
    <t>Rendimento de Carteira</t>
  </si>
  <si>
    <t>Sugestão de Investimento</t>
  </si>
  <si>
    <t>Patrimônio Acumulado</t>
  </si>
  <si>
    <t>PERFIL INVESTIDOR</t>
  </si>
  <si>
    <t>Conservador</t>
  </si>
  <si>
    <t>VALOR A SER INVESTIDO POR MÊS</t>
  </si>
  <si>
    <t>TIPO DE FII</t>
  </si>
  <si>
    <t>Percentual Sugerido</t>
  </si>
  <si>
    <t>Valores</t>
  </si>
  <si>
    <t>PAPEL</t>
  </si>
  <si>
    <t>TIJOLO</t>
  </si>
  <si>
    <t>HÍBRIDO</t>
  </si>
  <si>
    <t>FOFs</t>
  </si>
  <si>
    <t>DESENVOLVIMENTO</t>
  </si>
  <si>
    <t>HOTELARIA</t>
  </si>
  <si>
    <t>TOTAL</t>
  </si>
  <si>
    <t>PERFIL</t>
  </si>
  <si>
    <t>CHAVE</t>
  </si>
  <si>
    <t>Moderado</t>
  </si>
  <si>
    <t>Agressivo</t>
  </si>
  <si>
    <t>SIMULAÇÃO DE VALORES</t>
  </si>
  <si>
    <t xml:space="preserve">INVESTIMENTOS IMOBILIÁRIOS </t>
  </si>
  <si>
    <t>TABELA DE DADOS AUXILIAR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</si>
</sst>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sz val="11"/>
      <color theme="0"/>
      <name val="Segoe UI"/>
      <family val="2"/>
    </font>
    <font>
      <sz val="11"/>
      <color theme="1"/>
      <name val="Aptos Narrow"/>
      <family val="2"/>
      <scheme val="minor"/>
    </font>
    <font>
      <sz val="14"/>
      <color theme="0"/>
      <name val="Segoe UI"/>
      <family val="2"/>
    </font>
    <font>
      <b/>
      <sz val="16"/>
      <color theme="1"/>
      <name val="Segoe UI Light"/>
      <family val="2"/>
    </font>
    <font>
      <b/>
      <sz val="14"/>
      <color theme="3" tint="9.9978637043366805E-2"/>
      <name val="Segoe UI Light"/>
      <family val="2"/>
    </font>
    <font>
      <sz val="14"/>
      <color rgb="FFF4F6F9"/>
      <name val="Segoe UI"/>
      <family val="2"/>
    </font>
    <font>
      <sz val="12"/>
      <color rgb="FF1A2530"/>
      <name val="Aptos Narrow"/>
      <family val="2"/>
      <scheme val="minor"/>
    </font>
    <font>
      <sz val="12"/>
      <color rgb="FF1A2530"/>
      <name val="Segoe UI"/>
      <family val="2"/>
    </font>
    <font>
      <b/>
      <sz val="12"/>
      <color rgb="FF1A2530"/>
      <name val="Segoe UI"/>
      <family val="2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1A2530"/>
        <bgColor indexed="64"/>
      </patternFill>
    </fill>
    <fill>
      <patternFill patternType="solid">
        <fgColor rgb="FF00C853"/>
        <bgColor indexed="64"/>
      </patternFill>
    </fill>
    <fill>
      <patternFill patternType="solid">
        <fgColor rgb="FFF4F6F9"/>
        <bgColor indexed="64"/>
      </patternFill>
    </fill>
  </fills>
  <borders count="41">
    <border>
      <left/>
      <right/>
      <top/>
      <bottom/>
      <diagonal/>
    </border>
    <border>
      <left style="thick">
        <color theme="3" tint="9.9948118533890809E-2"/>
      </left>
      <right/>
      <top/>
      <bottom style="thick">
        <color theme="3" tint="9.9948118533890809E-2"/>
      </bottom>
      <diagonal/>
    </border>
    <border>
      <left/>
      <right style="thick">
        <color theme="3" tint="9.9948118533890809E-2"/>
      </right>
      <top/>
      <bottom style="thick">
        <color theme="3" tint="9.9948118533890809E-2"/>
      </bottom>
      <diagonal/>
    </border>
    <border>
      <left/>
      <right/>
      <top/>
      <bottom style="thick">
        <color theme="3" tint="9.9948118533890809E-2"/>
      </bottom>
      <diagonal/>
    </border>
    <border>
      <left style="thick">
        <color theme="3" tint="9.9887081514938816E-2"/>
      </left>
      <right/>
      <top style="thick">
        <color theme="3" tint="9.9887081514938816E-2"/>
      </top>
      <bottom/>
      <diagonal/>
    </border>
    <border>
      <left/>
      <right/>
      <top style="thick">
        <color theme="3" tint="9.9887081514938816E-2"/>
      </top>
      <bottom/>
      <diagonal/>
    </border>
    <border>
      <left/>
      <right style="thick">
        <color theme="3" tint="9.9887081514938816E-2"/>
      </right>
      <top style="thick">
        <color theme="3" tint="9.9887081514938816E-2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theme="3" tint="9.982604449598681E-2"/>
      </left>
      <right/>
      <top style="thick">
        <color theme="3" tint="9.982604449598681E-2"/>
      </top>
      <bottom/>
      <diagonal/>
    </border>
    <border>
      <left/>
      <right/>
      <top style="thick">
        <color theme="3" tint="9.982604449598681E-2"/>
      </top>
      <bottom/>
      <diagonal/>
    </border>
    <border>
      <left/>
      <right style="thick">
        <color theme="3" tint="9.982604449598681E-2"/>
      </right>
      <top style="thick">
        <color theme="3" tint="9.982604449598681E-2"/>
      </top>
      <bottom/>
      <diagonal/>
    </border>
    <border>
      <left style="thick">
        <color rgb="FF1A2530"/>
      </left>
      <right/>
      <top style="thick">
        <color rgb="FF1A2530"/>
      </top>
      <bottom/>
      <diagonal/>
    </border>
    <border>
      <left/>
      <right/>
      <top style="thick">
        <color rgb="FF1A2530"/>
      </top>
      <bottom/>
      <diagonal/>
    </border>
    <border>
      <left/>
      <right style="thick">
        <color rgb="FF1A2530"/>
      </right>
      <top style="thick">
        <color rgb="FF1A2530"/>
      </top>
      <bottom/>
      <diagonal/>
    </border>
    <border>
      <left style="thin">
        <color rgb="FF9DB4CB"/>
      </left>
      <right style="thin">
        <color rgb="FF9DB4CB"/>
      </right>
      <top style="thin">
        <color rgb="FF9DB4CB"/>
      </top>
      <bottom style="thin">
        <color rgb="FF9DB4CB"/>
      </bottom>
      <diagonal/>
    </border>
    <border>
      <left style="thin">
        <color rgb="FF9DB4CB"/>
      </left>
      <right style="thin">
        <color rgb="FF9DB4CB"/>
      </right>
      <top/>
      <bottom style="thin">
        <color rgb="FF9DB4CB"/>
      </bottom>
      <diagonal/>
    </border>
    <border>
      <left style="thick">
        <color theme="3" tint="9.985656300546282E-2"/>
      </left>
      <right style="thin">
        <color rgb="FF9DB4CB"/>
      </right>
      <top/>
      <bottom style="thin">
        <color rgb="FF9DB4CB"/>
      </bottom>
      <diagonal/>
    </border>
    <border>
      <left style="thin">
        <color rgb="FF9DB4CB"/>
      </left>
      <right style="thick">
        <color theme="3" tint="9.985656300546282E-2"/>
      </right>
      <top/>
      <bottom style="thin">
        <color rgb="FF9DB4CB"/>
      </bottom>
      <diagonal/>
    </border>
    <border>
      <left style="thick">
        <color theme="3" tint="9.985656300546282E-2"/>
      </left>
      <right style="thin">
        <color rgb="FF9DB4CB"/>
      </right>
      <top style="thin">
        <color rgb="FF9DB4CB"/>
      </top>
      <bottom style="thin">
        <color rgb="FF9DB4CB"/>
      </bottom>
      <diagonal/>
    </border>
    <border>
      <left style="thin">
        <color rgb="FF9DB4CB"/>
      </left>
      <right style="thick">
        <color theme="3" tint="9.985656300546282E-2"/>
      </right>
      <top style="thin">
        <color rgb="FF9DB4CB"/>
      </top>
      <bottom style="thin">
        <color rgb="FF9DB4CB"/>
      </bottom>
      <diagonal/>
    </border>
    <border>
      <left style="thick">
        <color theme="3" tint="9.985656300546282E-2"/>
      </left>
      <right style="thin">
        <color rgb="FF9DB4CB"/>
      </right>
      <top style="thin">
        <color rgb="FF9DB4CB"/>
      </top>
      <bottom style="thick">
        <color theme="3" tint="9.985656300546282E-2"/>
      </bottom>
      <diagonal/>
    </border>
    <border>
      <left style="thin">
        <color rgb="FF9DB4CB"/>
      </left>
      <right style="thin">
        <color rgb="FF9DB4CB"/>
      </right>
      <top style="thin">
        <color rgb="FF9DB4CB"/>
      </top>
      <bottom style="thick">
        <color theme="3" tint="9.985656300546282E-2"/>
      </bottom>
      <diagonal/>
    </border>
    <border>
      <left style="thin">
        <color rgb="FF9DB4CB"/>
      </left>
      <right style="thick">
        <color theme="3" tint="9.985656300546282E-2"/>
      </right>
      <top style="thin">
        <color rgb="FF9DB4CB"/>
      </top>
      <bottom style="thick">
        <color theme="3" tint="9.985656300546282E-2"/>
      </bottom>
      <diagonal/>
    </border>
    <border>
      <left style="thick">
        <color theme="3" tint="9.982604449598681E-2"/>
      </left>
      <right style="thin">
        <color rgb="FF9DB4CB"/>
      </right>
      <top/>
      <bottom style="thin">
        <color rgb="FF9DB4CB"/>
      </bottom>
      <diagonal/>
    </border>
    <border>
      <left style="thin">
        <color rgb="FF9DB4CB"/>
      </left>
      <right style="thick">
        <color theme="3" tint="9.982604449598681E-2"/>
      </right>
      <top/>
      <bottom style="thin">
        <color rgb="FF9DB4CB"/>
      </bottom>
      <diagonal/>
    </border>
    <border>
      <left style="thick">
        <color theme="3" tint="9.982604449598681E-2"/>
      </left>
      <right style="thin">
        <color rgb="FF9DB4CB"/>
      </right>
      <top style="thin">
        <color rgb="FF9DB4CB"/>
      </top>
      <bottom style="thin">
        <color rgb="FF9DB4CB"/>
      </bottom>
      <diagonal/>
    </border>
    <border>
      <left style="thin">
        <color rgb="FF9DB4CB"/>
      </left>
      <right style="thick">
        <color theme="3" tint="9.982604449598681E-2"/>
      </right>
      <top style="thin">
        <color rgb="FF9DB4CB"/>
      </top>
      <bottom style="thin">
        <color rgb="FF9DB4CB"/>
      </bottom>
      <diagonal/>
    </border>
    <border>
      <left style="thick">
        <color theme="3" tint="9.982604449598681E-2"/>
      </left>
      <right style="thin">
        <color rgb="FF9DB4CB"/>
      </right>
      <top style="thin">
        <color rgb="FF9DB4CB"/>
      </top>
      <bottom style="thick">
        <color theme="3" tint="9.982604449598681E-2"/>
      </bottom>
      <diagonal/>
    </border>
    <border>
      <left style="thin">
        <color rgb="FF9DB4CB"/>
      </left>
      <right style="thin">
        <color rgb="FF9DB4CB"/>
      </right>
      <top style="thin">
        <color rgb="FF9DB4CB"/>
      </top>
      <bottom style="thick">
        <color theme="3" tint="9.982604449598681E-2"/>
      </bottom>
      <diagonal/>
    </border>
    <border>
      <left style="thin">
        <color rgb="FF9DB4CB"/>
      </left>
      <right style="thick">
        <color theme="3" tint="9.982604449598681E-2"/>
      </right>
      <top style="thin">
        <color rgb="FF9DB4CB"/>
      </top>
      <bottom style="thick">
        <color theme="3" tint="9.982604449598681E-2"/>
      </bottom>
      <diagonal/>
    </border>
    <border>
      <left style="thick">
        <color rgb="FF1A2530"/>
      </left>
      <right/>
      <top/>
      <bottom/>
      <diagonal/>
    </border>
    <border>
      <left/>
      <right style="thick">
        <color rgb="FF1A2530"/>
      </right>
      <top/>
      <bottom/>
      <diagonal/>
    </border>
    <border>
      <left style="thick">
        <color rgb="FF1A2530"/>
      </left>
      <right/>
      <top/>
      <bottom style="thick">
        <color rgb="FF1A2530"/>
      </bottom>
      <diagonal/>
    </border>
    <border>
      <left/>
      <right/>
      <top/>
      <bottom style="thick">
        <color rgb="FF1A2530"/>
      </bottom>
      <diagonal/>
    </border>
    <border>
      <left/>
      <right style="thick">
        <color rgb="FF1A2530"/>
      </right>
      <top/>
      <bottom style="thick">
        <color rgb="FF1A2530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rgb="FF1A2530"/>
      </left>
      <right/>
      <top style="thick">
        <color rgb="FF1A2530"/>
      </top>
      <bottom style="thick">
        <color rgb="FF1A2530"/>
      </bottom>
      <diagonal/>
    </border>
    <border>
      <left/>
      <right/>
      <top style="thick">
        <color rgb="FF1A2530"/>
      </top>
      <bottom style="thick">
        <color rgb="FF1A2530"/>
      </bottom>
      <diagonal/>
    </border>
    <border>
      <left/>
      <right style="thick">
        <color rgb="FF1A2530"/>
      </right>
      <top style="thick">
        <color rgb="FF1A2530"/>
      </top>
      <bottom style="thick">
        <color rgb="FF1A2530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7" xfId="0" applyBorder="1" applyAlignment="1">
      <alignment horizontal="center"/>
    </xf>
    <xf numFmtId="9" fontId="0" fillId="0" borderId="7" xfId="0" applyNumberFormat="1" applyBorder="1" applyAlignment="1">
      <alignment horizontal="center"/>
    </xf>
    <xf numFmtId="9" fontId="0" fillId="0" borderId="7" xfId="2" applyFont="1" applyBorder="1" applyAlignment="1">
      <alignment horizontal="center"/>
    </xf>
    <xf numFmtId="9" fontId="0" fillId="0" borderId="0" xfId="2" applyFont="1" applyFill="1" applyBorder="1" applyAlignment="1">
      <alignment horizontal="center"/>
    </xf>
    <xf numFmtId="9" fontId="0" fillId="0" borderId="0" xfId="2" applyFont="1" applyAlignment="1">
      <alignment horizontal="center"/>
    </xf>
    <xf numFmtId="0" fontId="0" fillId="7" borderId="0" xfId="0" applyFill="1"/>
    <xf numFmtId="0" fontId="5" fillId="7" borderId="3" xfId="0" applyFont="1" applyFill="1" applyBorder="1" applyAlignment="1">
      <alignment horizontal="center"/>
    </xf>
    <xf numFmtId="0" fontId="4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3" fillId="5" borderId="4" xfId="0" applyFont="1" applyFill="1" applyBorder="1" applyAlignment="1">
      <alignment horizontal="left" vertical="center" indent="2"/>
    </xf>
    <xf numFmtId="164" fontId="8" fillId="0" borderId="31" xfId="1" applyNumberFormat="1" applyFont="1" applyFill="1" applyBorder="1" applyAlignment="1">
      <alignment horizontal="center"/>
    </xf>
    <xf numFmtId="10" fontId="8" fillId="0" borderId="31" xfId="0" applyNumberFormat="1" applyFont="1" applyBorder="1" applyAlignment="1">
      <alignment horizontal="center"/>
    </xf>
    <xf numFmtId="164" fontId="8" fillId="4" borderId="34" xfId="0" applyNumberFormat="1" applyFont="1" applyFill="1" applyBorder="1" applyAlignment="1">
      <alignment horizontal="center"/>
    </xf>
    <xf numFmtId="164" fontId="8" fillId="0" borderId="26" xfId="1" applyNumberFormat="1" applyFont="1" applyBorder="1" applyAlignment="1">
      <alignment horizontal="center" vertical="center"/>
    </xf>
    <xf numFmtId="1" fontId="8" fillId="0" borderId="26" xfId="0" applyNumberFormat="1" applyFont="1" applyBorder="1" applyAlignment="1">
      <alignment horizontal="center"/>
    </xf>
    <xf numFmtId="10" fontId="8" fillId="0" borderId="26" xfId="0" applyNumberFormat="1" applyFont="1" applyBorder="1" applyAlignment="1">
      <alignment horizontal="center" vertical="center"/>
    </xf>
    <xf numFmtId="0" fontId="8" fillId="4" borderId="25" xfId="0" applyFont="1" applyFill="1" applyBorder="1" applyAlignment="1">
      <alignment horizontal="left" indent="3"/>
    </xf>
    <xf numFmtId="8" fontId="8" fillId="4" borderId="26" xfId="1" applyNumberFormat="1" applyFont="1" applyFill="1" applyBorder="1" applyAlignment="1">
      <alignment horizontal="center"/>
    </xf>
    <xf numFmtId="164" fontId="8" fillId="6" borderId="29" xfId="1" applyNumberFormat="1" applyFont="1" applyFill="1" applyBorder="1" applyAlignment="1">
      <alignment horizontal="center"/>
    </xf>
    <xf numFmtId="0" fontId="8" fillId="4" borderId="23" xfId="0" applyFont="1" applyFill="1" applyBorder="1" applyAlignment="1">
      <alignment horizontal="left" indent="3"/>
    </xf>
    <xf numFmtId="164" fontId="8" fillId="4" borderId="15" xfId="0" applyNumberFormat="1" applyFont="1" applyFill="1" applyBorder="1" applyAlignment="1">
      <alignment horizontal="center"/>
    </xf>
    <xf numFmtId="164" fontId="8" fillId="4" borderId="24" xfId="0" applyNumberFormat="1" applyFont="1" applyFill="1" applyBorder="1" applyAlignment="1">
      <alignment horizontal="center"/>
    </xf>
    <xf numFmtId="164" fontId="8" fillId="4" borderId="14" xfId="0" applyNumberFormat="1" applyFont="1" applyFill="1" applyBorder="1" applyAlignment="1">
      <alignment horizontal="center"/>
    </xf>
    <xf numFmtId="164" fontId="8" fillId="4" borderId="26" xfId="0" applyNumberFormat="1" applyFont="1" applyFill="1" applyBorder="1" applyAlignment="1">
      <alignment horizontal="center"/>
    </xf>
    <xf numFmtId="0" fontId="8" fillId="4" borderId="27" xfId="0" applyFont="1" applyFill="1" applyBorder="1" applyAlignment="1">
      <alignment horizontal="left" indent="3"/>
    </xf>
    <xf numFmtId="164" fontId="8" fillId="4" borderId="28" xfId="0" applyNumberFormat="1" applyFont="1" applyFill="1" applyBorder="1" applyAlignment="1">
      <alignment horizontal="center"/>
    </xf>
    <xf numFmtId="164" fontId="8" fillId="4" borderId="29" xfId="0" applyNumberFormat="1" applyFont="1" applyFill="1" applyBorder="1" applyAlignment="1">
      <alignment horizontal="center"/>
    </xf>
    <xf numFmtId="0" fontId="8" fillId="2" borderId="1" xfId="0" applyFont="1" applyFill="1" applyBorder="1" applyAlignment="1">
      <alignment horizontal="left" indent="2"/>
    </xf>
    <xf numFmtId="0" fontId="8" fillId="2" borderId="16" xfId="0" applyFont="1" applyFill="1" applyBorder="1" applyAlignment="1">
      <alignment horizontal="center"/>
    </xf>
    <xf numFmtId="9" fontId="8" fillId="2" borderId="15" xfId="0" applyNumberFormat="1" applyFont="1" applyFill="1" applyBorder="1" applyAlignment="1">
      <alignment horizontal="center"/>
    </xf>
    <xf numFmtId="164" fontId="8" fillId="2" borderId="17" xfId="0" applyNumberFormat="1" applyFont="1" applyFill="1" applyBorder="1" applyAlignment="1">
      <alignment horizontal="center"/>
    </xf>
    <xf numFmtId="0" fontId="8" fillId="2" borderId="18" xfId="0" applyFont="1" applyFill="1" applyBorder="1" applyAlignment="1">
      <alignment horizontal="center"/>
    </xf>
    <xf numFmtId="9" fontId="8" fillId="2" borderId="14" xfId="0" applyNumberFormat="1" applyFont="1" applyFill="1" applyBorder="1" applyAlignment="1">
      <alignment horizontal="center"/>
    </xf>
    <xf numFmtId="164" fontId="8" fillId="2" borderId="19" xfId="0" applyNumberFormat="1" applyFont="1" applyFill="1" applyBorder="1" applyAlignment="1">
      <alignment horizontal="center"/>
    </xf>
    <xf numFmtId="0" fontId="9" fillId="2" borderId="20" xfId="0" applyFont="1" applyFill="1" applyBorder="1" applyAlignment="1">
      <alignment horizontal="center"/>
    </xf>
    <xf numFmtId="9" fontId="8" fillId="2" borderId="21" xfId="0" applyNumberFormat="1" applyFont="1" applyFill="1" applyBorder="1" applyAlignment="1">
      <alignment horizontal="center"/>
    </xf>
    <xf numFmtId="164" fontId="9" fillId="3" borderId="22" xfId="0" applyNumberFormat="1" applyFont="1" applyFill="1" applyBorder="1" applyAlignment="1">
      <alignment horizontal="center"/>
    </xf>
    <xf numFmtId="0" fontId="6" fillId="5" borderId="5" xfId="0" applyFont="1" applyFill="1" applyBorder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  <xf numFmtId="164" fontId="8" fillId="2" borderId="3" xfId="0" applyNumberFormat="1" applyFont="1" applyFill="1" applyBorder="1" applyAlignment="1">
      <alignment horizontal="center"/>
    </xf>
    <xf numFmtId="164" fontId="8" fillId="2" borderId="2" xfId="0" applyNumberFormat="1" applyFont="1" applyFill="1" applyBorder="1" applyAlignment="1">
      <alignment horizontal="center"/>
    </xf>
    <xf numFmtId="0" fontId="6" fillId="5" borderId="11" xfId="0" applyFont="1" applyFill="1" applyBorder="1" applyAlignment="1">
      <alignment horizontal="left" vertical="center" indent="3"/>
    </xf>
    <xf numFmtId="0" fontId="6" fillId="5" borderId="12" xfId="0" applyFont="1" applyFill="1" applyBorder="1" applyAlignment="1">
      <alignment horizontal="left" vertical="center" indent="3"/>
    </xf>
    <xf numFmtId="0" fontId="6" fillId="5" borderId="13" xfId="0" applyFont="1" applyFill="1" applyBorder="1" applyAlignment="1">
      <alignment horizontal="left" vertical="center" indent="3"/>
    </xf>
    <xf numFmtId="0" fontId="7" fillId="0" borderId="30" xfId="0" applyFont="1" applyBorder="1" applyAlignment="1">
      <alignment horizontal="left" indent="3"/>
    </xf>
    <xf numFmtId="0" fontId="7" fillId="0" borderId="0" xfId="0" applyFont="1" applyAlignment="1">
      <alignment horizontal="left" indent="3"/>
    </xf>
    <xf numFmtId="0" fontId="8" fillId="0" borderId="30" xfId="0" applyFont="1" applyBorder="1" applyAlignment="1">
      <alignment horizontal="left" indent="3"/>
    </xf>
    <xf numFmtId="0" fontId="8" fillId="0" borderId="0" xfId="0" applyFont="1" applyAlignment="1">
      <alignment horizontal="left" indent="3"/>
    </xf>
    <xf numFmtId="0" fontId="8" fillId="4" borderId="32" xfId="0" applyFont="1" applyFill="1" applyBorder="1" applyAlignment="1">
      <alignment horizontal="left" indent="3"/>
    </xf>
    <xf numFmtId="0" fontId="8" fillId="4" borderId="33" xfId="0" applyFont="1" applyFill="1" applyBorder="1" applyAlignment="1">
      <alignment horizontal="left" indent="3"/>
    </xf>
    <xf numFmtId="0" fontId="3" fillId="5" borderId="8" xfId="0" applyFont="1" applyFill="1" applyBorder="1" applyAlignment="1">
      <alignment horizontal="left" vertical="center" indent="1"/>
    </xf>
    <xf numFmtId="0" fontId="3" fillId="5" borderId="9" xfId="0" applyFont="1" applyFill="1" applyBorder="1" applyAlignment="1">
      <alignment horizontal="left" vertical="center" indent="1"/>
    </xf>
    <xf numFmtId="0" fontId="8" fillId="0" borderId="25" xfId="0" applyFont="1" applyBorder="1" applyAlignment="1">
      <alignment horizontal="left" indent="3"/>
    </xf>
    <xf numFmtId="0" fontId="8" fillId="0" borderId="14" xfId="0" applyFont="1" applyBorder="1" applyAlignment="1">
      <alignment horizontal="left" indent="3"/>
    </xf>
    <xf numFmtId="0" fontId="8" fillId="4" borderId="25" xfId="0" applyFont="1" applyFill="1" applyBorder="1" applyAlignment="1">
      <alignment horizontal="left" indent="3"/>
    </xf>
    <xf numFmtId="0" fontId="8" fillId="4" borderId="14" xfId="0" applyFont="1" applyFill="1" applyBorder="1" applyAlignment="1">
      <alignment horizontal="left" indent="3"/>
    </xf>
    <xf numFmtId="0" fontId="8" fillId="6" borderId="27" xfId="0" applyFont="1" applyFill="1" applyBorder="1" applyAlignment="1">
      <alignment horizontal="left" indent="3"/>
    </xf>
    <xf numFmtId="0" fontId="8" fillId="6" borderId="28" xfId="0" applyFont="1" applyFill="1" applyBorder="1" applyAlignment="1">
      <alignment horizontal="left" indent="3"/>
    </xf>
    <xf numFmtId="0" fontId="3" fillId="5" borderId="10" xfId="0" applyFont="1" applyFill="1" applyBorder="1" applyAlignment="1">
      <alignment horizontal="left" vertical="center" indent="1"/>
    </xf>
    <xf numFmtId="0" fontId="6" fillId="5" borderId="5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9" fontId="0" fillId="0" borderId="7" xfId="2" applyFont="1" applyFill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5" borderId="35" xfId="0" applyFont="1" applyFill="1" applyBorder="1" applyAlignment="1">
      <alignment horizontal="center" vertical="center"/>
    </xf>
    <xf numFmtId="0" fontId="6" fillId="5" borderId="36" xfId="0" applyFont="1" applyFill="1" applyBorder="1" applyAlignment="1">
      <alignment horizontal="center" vertical="center"/>
    </xf>
    <xf numFmtId="0" fontId="6" fillId="5" borderId="37" xfId="0" applyFont="1" applyFill="1" applyBorder="1" applyAlignment="1">
      <alignment horizontal="center" vertical="center"/>
    </xf>
    <xf numFmtId="0" fontId="3" fillId="5" borderId="39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center" vertical="center"/>
    </xf>
    <xf numFmtId="0" fontId="3" fillId="5" borderId="38" xfId="0" applyFont="1" applyFill="1" applyBorder="1" applyAlignment="1">
      <alignment horizontal="left" vertical="center" indent="1"/>
    </xf>
    <xf numFmtId="0" fontId="3" fillId="5" borderId="39" xfId="0" applyFont="1" applyFill="1" applyBorder="1" applyAlignment="1">
      <alignment horizontal="left" vertical="center" indent="1"/>
    </xf>
  </cellXfs>
  <cellStyles count="3">
    <cellStyle name="Moeda" xfId="1" builtinId="4"/>
    <cellStyle name="Normal" xfId="0" builtinId="0"/>
    <cellStyle name="Porcentagem" xfId="2" builtinId="5"/>
  </cellStyles>
  <dxfs count="12">
    <dxf>
      <font>
        <color rgb="FF1A2530"/>
      </font>
      <fill>
        <patternFill>
          <fgColor rgb="FFF4F6F9"/>
          <bgColor rgb="FFF4F6F9"/>
        </patternFill>
      </fill>
    </dxf>
    <dxf>
      <font>
        <color rgb="FFF4F6F9"/>
      </font>
      <fill>
        <patternFill>
          <bgColor rgb="FF1A2530"/>
        </patternFill>
      </fill>
    </dxf>
    <dxf>
      <font>
        <color rgb="FF1A2530"/>
      </font>
      <fill>
        <patternFill>
          <bgColor rgb="FF00C853"/>
        </patternFill>
      </fill>
    </dxf>
    <dxf>
      <font>
        <color rgb="FF1A2530"/>
      </font>
      <fill>
        <patternFill>
          <fgColor rgb="FFF4F6F9"/>
          <bgColor rgb="FFF4F6F9"/>
        </patternFill>
      </fill>
    </dxf>
    <dxf>
      <font>
        <color rgb="FFF4F6F9"/>
      </font>
      <fill>
        <patternFill>
          <bgColor rgb="FF1A2530"/>
        </patternFill>
      </fill>
    </dxf>
    <dxf>
      <font>
        <color rgb="FF1A2530"/>
      </font>
      <fill>
        <patternFill>
          <bgColor rgb="FF00C853"/>
        </patternFill>
      </fill>
    </dxf>
    <dxf>
      <font>
        <color rgb="FF1A2530"/>
      </font>
      <fill>
        <patternFill>
          <fgColor rgb="FFF4F6F9"/>
          <bgColor rgb="FFF4F6F9"/>
        </patternFill>
      </fill>
    </dxf>
    <dxf>
      <font>
        <color rgb="FFF4F6F9"/>
      </font>
      <fill>
        <patternFill>
          <bgColor rgb="FF1A2530"/>
        </patternFill>
      </fill>
    </dxf>
    <dxf>
      <font>
        <color rgb="FF1A2530"/>
      </font>
      <fill>
        <patternFill>
          <bgColor rgb="FF00C853"/>
        </patternFill>
      </fill>
    </dxf>
    <dxf>
      <font>
        <color rgb="FF1A2530"/>
      </font>
      <fill>
        <patternFill>
          <fgColor rgb="FFF4F6F9"/>
          <bgColor rgb="FFF4F6F9"/>
        </patternFill>
      </fill>
    </dxf>
    <dxf>
      <font>
        <color rgb="FFF4F6F9"/>
      </font>
      <fill>
        <patternFill>
          <bgColor rgb="FF1A2530"/>
        </patternFill>
      </fill>
    </dxf>
    <dxf>
      <font>
        <color rgb="FF1A2530"/>
      </font>
      <fill>
        <patternFill>
          <bgColor rgb="FF00C853"/>
        </patternFill>
      </fill>
    </dxf>
  </dxfs>
  <tableStyles count="0" defaultTableStyle="TableStyleMedium2" defaultPivotStyle="PivotStyleLight16"/>
  <colors>
    <mruColors>
      <color rgb="FF1A2530"/>
      <color rgb="FFF4F6F9"/>
      <color rgb="FFC2C0B6"/>
      <color rgb="FFCCB9AC"/>
      <color rgb="FFDDD0C7"/>
      <color rgb="FF00C853"/>
      <color rgb="FF9DB4CB"/>
      <color rgb="FF5F84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rgbClr val="1A253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Moderado</a:t>
            </a:r>
            <a:r>
              <a:rPr lang="en-US" b="0">
                <a:solidFill>
                  <a:srgbClr val="1A253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en-US" sz="1200" b="0">
                <a:solidFill>
                  <a:srgbClr val="1A253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R$ 500,00 </a:t>
            </a:r>
            <a:r>
              <a:rPr lang="en-US" b="0" u="none">
                <a:solidFill>
                  <a:srgbClr val="1A2530"/>
                </a:solidFill>
                <a:latin typeface="Segoe UI" panose="020B0502040204020203" pitchFamily="34" charset="0"/>
                <a:cs typeface="Segoe UI" panose="020B0502040204020203" pitchFamily="34" charset="0"/>
              </a:rPr>
              <a:t>Percentual Sugerido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37014450506680752"/>
          <c:y val="0.21556603194296384"/>
          <c:w val="0.25299381225249901"/>
          <c:h val="0.57311563561381973"/>
        </c:manualLayout>
      </c:layout>
      <c:pieChart>
        <c:varyColors val="1"/>
        <c:ser>
          <c:idx val="0"/>
          <c:order val="0"/>
          <c:tx>
            <c:strRef>
              <c:f>Planilha1!$D$32:$D$35</c:f>
              <c:strCache>
                <c:ptCount val="4"/>
                <c:pt idx="0">
                  <c:v>Conservador</c:v>
                </c:pt>
                <c:pt idx="1">
                  <c:v>R$ 200,00</c:v>
                </c:pt>
                <c:pt idx="3">
                  <c:v>Percentual Sugerido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6AE-4B02-8524-5EB1738334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6AE-4B02-8524-5EB1738334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6AE-4B02-8524-5EB1738334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6AE-4B02-8524-5EB1738334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6AE-4B02-8524-5EB1738334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6AE-4B02-8524-5EB1738334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6AE-4B02-8524-5EB17383340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Planilha1!$C$36:$C$42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  <c:pt idx="6">
                  <c:v>TOTAL</c:v>
                </c:pt>
              </c:strCache>
            </c:strRef>
          </c:cat>
          <c:val>
            <c:numRef>
              <c:f>Planilha1!$D$36:$D$42</c:f>
              <c:numCache>
                <c:formatCode>0%</c:formatCode>
                <c:ptCount val="7"/>
                <c:pt idx="0">
                  <c:v>0.5</c:v>
                </c:pt>
                <c:pt idx="1">
                  <c:v>0.3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DA-4084-8262-0680E4B78A98}"/>
            </c:ext>
          </c:extLst>
        </c:ser>
        <c:ser>
          <c:idx val="1"/>
          <c:order val="1"/>
          <c:tx>
            <c:strRef>
              <c:f>Planilha1!$E$32:$E$35</c:f>
              <c:strCache>
                <c:ptCount val="4"/>
                <c:pt idx="0">
                  <c:v>Conservador</c:v>
                </c:pt>
                <c:pt idx="1">
                  <c:v>R$ 200,00</c:v>
                </c:pt>
                <c:pt idx="3">
                  <c:v>Valores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6AE-4B02-8524-5EB17383340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6AE-4B02-8524-5EB17383340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6AE-4B02-8524-5EB17383340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6AE-4B02-8524-5EB17383340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6AE-4B02-8524-5EB17383340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6AE-4B02-8524-5EB17383340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6AE-4B02-8524-5EB173833402}"/>
              </c:ext>
            </c:extLst>
          </c:dPt>
          <c:cat>
            <c:strRef>
              <c:f>Planilha1!$C$36:$C$42</c:f>
              <c:strCache>
                <c:ptCount val="7"/>
                <c:pt idx="0">
                  <c:v>PAPEL</c:v>
                </c:pt>
                <c:pt idx="1">
                  <c:v>TIJOLO</c:v>
                </c:pt>
                <c:pt idx="2">
                  <c:v>HÍBRIDO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</c:v>
                </c:pt>
                <c:pt idx="6">
                  <c:v>TOTAL</c:v>
                </c:pt>
              </c:strCache>
            </c:strRef>
          </c:cat>
          <c:val>
            <c:numRef>
              <c:f>Planilha1!$E$36:$E$42</c:f>
              <c:numCache>
                <c:formatCode>"R$"\ #,##0.00</c:formatCode>
                <c:ptCount val="7"/>
                <c:pt idx="0">
                  <c:v>100</c:v>
                </c:pt>
                <c:pt idx="1">
                  <c:v>60</c:v>
                </c:pt>
                <c:pt idx="2">
                  <c:v>20</c:v>
                </c:pt>
                <c:pt idx="3">
                  <c:v>20</c:v>
                </c:pt>
                <c:pt idx="4">
                  <c:v>0</c:v>
                </c:pt>
                <c:pt idx="5">
                  <c:v>0</c:v>
                </c:pt>
                <c:pt idx="6">
                  <c:v>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6DA-4084-8262-0680E4B78A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4F6F9"/>
        </a:solidFill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7731224040040995E-2"/>
          <c:y val="0.87635423315709715"/>
          <c:w val="0.82117902922562647"/>
          <c:h val="7.799670092643042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4F6F9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228600</xdr:colOff>
      <xdr:row>0</xdr:row>
      <xdr:rowOff>266700</xdr:rowOff>
    </xdr:from>
    <xdr:to>
      <xdr:col>4</xdr:col>
      <xdr:colOff>1733550</xdr:colOff>
      <xdr:row>8</xdr:row>
      <xdr:rowOff>38100</xdr:rowOff>
    </xdr:to>
    <xdr:grpSp>
      <xdr:nvGrpSpPr>
        <xdr:cNvPr id="7" name="Agrupar 6">
          <a:extLst>
            <a:ext uri="{FF2B5EF4-FFF2-40B4-BE49-F238E27FC236}">
              <a16:creationId xmlns:a16="http://schemas.microsoft.com/office/drawing/2014/main" id="{B6F8C8F6-8131-C7C0-C89B-BA5BB7183963}"/>
            </a:ext>
          </a:extLst>
        </xdr:cNvPr>
        <xdr:cNvGrpSpPr/>
      </xdr:nvGrpSpPr>
      <xdr:grpSpPr>
        <a:xfrm>
          <a:off x="819150" y="266700"/>
          <a:ext cx="7162800" cy="1447800"/>
          <a:chOff x="1447800" y="152400"/>
          <a:chExt cx="7162800" cy="1447800"/>
        </a:xfrm>
        <a:solidFill>
          <a:srgbClr val="C2C0B6"/>
        </a:solidFill>
      </xdr:grpSpPr>
      <xdr:sp macro="" textlink="">
        <xdr:nvSpPr>
          <xdr:cNvPr id="2" name="Retângulo: Cantos Arredondados 1">
            <a:extLst>
              <a:ext uri="{FF2B5EF4-FFF2-40B4-BE49-F238E27FC236}">
                <a16:creationId xmlns:a16="http://schemas.microsoft.com/office/drawing/2014/main" id="{A6D2B152-3212-DF53-12DE-28A89F5DD278}"/>
              </a:ext>
            </a:extLst>
          </xdr:cNvPr>
          <xdr:cNvSpPr/>
        </xdr:nvSpPr>
        <xdr:spPr>
          <a:xfrm>
            <a:off x="1447800" y="152400"/>
            <a:ext cx="7162800" cy="1447800"/>
          </a:xfrm>
          <a:prstGeom prst="roundRect">
            <a:avLst/>
          </a:prstGeom>
          <a:grpFill/>
          <a:ln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Trapezoide 3">
            <a:extLst>
              <a:ext uri="{FF2B5EF4-FFF2-40B4-BE49-F238E27FC236}">
                <a16:creationId xmlns:a16="http://schemas.microsoft.com/office/drawing/2014/main" id="{035BE20A-E9AD-C655-99BD-B4BC7FBB4AD3}"/>
              </a:ext>
            </a:extLst>
          </xdr:cNvPr>
          <xdr:cNvSpPr/>
        </xdr:nvSpPr>
        <xdr:spPr>
          <a:xfrm rot="16200000" flipH="1">
            <a:off x="1285874" y="695324"/>
            <a:ext cx="1080000" cy="360000"/>
          </a:xfrm>
          <a:prstGeom prst="trapezoid">
            <a:avLst/>
          </a:prstGeom>
          <a:solidFill>
            <a:srgbClr val="1A253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5" name="Trapezoide 4">
            <a:extLst>
              <a:ext uri="{FF2B5EF4-FFF2-40B4-BE49-F238E27FC236}">
                <a16:creationId xmlns:a16="http://schemas.microsoft.com/office/drawing/2014/main" id="{2C6F0BE7-6D20-4EAC-843A-E89DAD2F0E56}"/>
              </a:ext>
            </a:extLst>
          </xdr:cNvPr>
          <xdr:cNvSpPr/>
        </xdr:nvSpPr>
        <xdr:spPr>
          <a:xfrm rot="16200000" flipV="1">
            <a:off x="1733549" y="695324"/>
            <a:ext cx="1080000" cy="360000"/>
          </a:xfrm>
          <a:prstGeom prst="trapezoid">
            <a:avLst/>
          </a:prstGeom>
          <a:solidFill>
            <a:srgbClr val="1A2530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6" name="CaixaDeTexto 5">
            <a:extLst>
              <a:ext uri="{FF2B5EF4-FFF2-40B4-BE49-F238E27FC236}">
                <a16:creationId xmlns:a16="http://schemas.microsoft.com/office/drawing/2014/main" id="{63DD7AF7-3249-FE83-6317-AA5597194251}"/>
              </a:ext>
            </a:extLst>
          </xdr:cNvPr>
          <xdr:cNvSpPr txBox="1"/>
        </xdr:nvSpPr>
        <xdr:spPr>
          <a:xfrm>
            <a:off x="2590800" y="476250"/>
            <a:ext cx="2133600" cy="704850"/>
          </a:xfrm>
          <a:prstGeom prst="rect">
            <a:avLst/>
          </a:prstGeom>
          <a:grp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pt-BR" sz="3800">
                <a:latin typeface="Segoe UI" panose="020B0502040204020203" pitchFamily="34" charset="0"/>
                <a:cs typeface="Segoe UI" panose="020B0502040204020203" pitchFamily="34" charset="0"/>
              </a:rPr>
              <a:t>ShapeFi </a:t>
            </a:r>
            <a:r>
              <a:rPr lang="pt-BR" sz="3600">
                <a:latin typeface="Trade Gothic Next Light" panose="020B0403040303020004" pitchFamily="34" charset="0"/>
                <a:cs typeface="Aldhabi" panose="01000000000000000000" pitchFamily="2" charset="-78"/>
              </a:rPr>
              <a:t> </a:t>
            </a:r>
          </a:p>
        </xdr:txBody>
      </xdr:sp>
    </xdr:grpSp>
    <xdr:clientData/>
  </xdr:twoCellAnchor>
  <xdr:twoCellAnchor>
    <xdr:from>
      <xdr:col>3</xdr:col>
      <xdr:colOff>2105026</xdr:colOff>
      <xdr:row>7</xdr:row>
      <xdr:rowOff>66675</xdr:rowOff>
    </xdr:from>
    <xdr:to>
      <xdr:col>4</xdr:col>
      <xdr:colOff>1504951</xdr:colOff>
      <xdr:row>8</xdr:row>
      <xdr:rowOff>9525</xdr:rowOff>
    </xdr:to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67F8FA9-D73F-4410-B084-7F70C6E553AF}"/>
            </a:ext>
          </a:extLst>
        </xdr:cNvPr>
        <xdr:cNvSpPr txBox="1"/>
      </xdr:nvSpPr>
      <xdr:spPr>
        <a:xfrm>
          <a:off x="5429251" y="1295400"/>
          <a:ext cx="2324100" cy="390525"/>
        </a:xfrm>
        <a:prstGeom prst="rect">
          <a:avLst/>
        </a:prstGeom>
        <a:solidFill>
          <a:srgbClr val="C2C0B6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600">
              <a:latin typeface="Segoe UI" panose="020B0502040204020203" pitchFamily="34" charset="0"/>
              <a:cs typeface="Segoe UI" panose="020B0502040204020203" pitchFamily="34" charset="0"/>
            </a:rPr>
            <a:t>Moldando</a:t>
          </a:r>
          <a:r>
            <a:rPr lang="pt-BR" sz="1600" baseline="0">
              <a:latin typeface="Segoe UI" panose="020B0502040204020203" pitchFamily="34" charset="0"/>
              <a:cs typeface="Segoe UI" panose="020B0502040204020203" pitchFamily="34" charset="0"/>
            </a:rPr>
            <a:t> o seu futuro </a:t>
          </a:r>
          <a:endParaRPr lang="pt-BR" sz="1600">
            <a:latin typeface="Segoe UI" panose="020B0502040204020203" pitchFamily="34" charset="0"/>
            <a:cs typeface="Segoe UI" panose="020B0502040204020203" pitchFamily="34" charset="0"/>
          </a:endParaRPr>
        </a:p>
      </xdr:txBody>
    </xdr:sp>
    <xdr:clientData/>
  </xdr:twoCellAnchor>
  <xdr:twoCellAnchor>
    <xdr:from>
      <xdr:col>2</xdr:col>
      <xdr:colOff>9525</xdr:colOff>
      <xdr:row>43</xdr:row>
      <xdr:rowOff>176211</xdr:rowOff>
    </xdr:from>
    <xdr:to>
      <xdr:col>4</xdr:col>
      <xdr:colOff>1914524</xdr:colOff>
      <xdr:row>61</xdr:row>
      <xdr:rowOff>85724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90C98648-7EF8-ED21-F382-07A9D776C1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Personalizada 6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A2530"/>
      </a:accent1>
      <a:accent2>
        <a:srgbClr val="00C853"/>
      </a:accent2>
      <a:accent3>
        <a:srgbClr val="FFFFFF"/>
      </a:accent3>
      <a:accent4>
        <a:srgbClr val="C2C0B6"/>
      </a:accent4>
      <a:accent5>
        <a:srgbClr val="A6C9EB"/>
      </a:accent5>
      <a:accent6>
        <a:srgbClr val="C19EB1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B7CDE-DAFD-4681-8DA3-AA688EED1B1F}">
  <dimension ref="A1:XFC75"/>
  <sheetViews>
    <sheetView showGridLines="0" tabSelected="1" zoomScaleNormal="100" workbookViewId="0">
      <selection activeCell="D32" sqref="D32:E32"/>
    </sheetView>
  </sheetViews>
  <sheetFormatPr defaultColWidth="9.140625" defaultRowHeight="15" zeroHeight="1" x14ac:dyDescent="0.25"/>
  <cols>
    <col min="1" max="1" width="4" customWidth="1"/>
    <col min="2" max="2" width="4.85546875" customWidth="1"/>
    <col min="3" max="3" width="41" customWidth="1"/>
    <col min="4" max="4" width="43.85546875" customWidth="1"/>
    <col min="5" max="5" width="29.28515625" customWidth="1"/>
    <col min="6" max="6" width="5.85546875" customWidth="1"/>
    <col min="7" max="7" width="4.5703125" customWidth="1"/>
    <col min="8" max="8" width="16" hidden="1" customWidth="1"/>
    <col min="9" max="16382" width="9.140625" hidden="1" customWidth="1"/>
    <col min="16383" max="16383" width="0.28515625" hidden="1" customWidth="1"/>
    <col min="16384" max="16384" width="0" hidden="1" customWidth="1"/>
  </cols>
  <sheetData>
    <row r="1" spans="1:7" ht="22.5" customHeight="1" x14ac:dyDescent="0.25">
      <c r="A1" s="9"/>
      <c r="B1" s="9"/>
      <c r="C1" s="9"/>
      <c r="D1" s="9"/>
      <c r="E1" s="9"/>
      <c r="F1" s="9"/>
      <c r="G1" s="9"/>
    </row>
    <row r="2" spans="1:7" x14ac:dyDescent="0.25">
      <c r="A2" s="9"/>
      <c r="B2" s="9"/>
      <c r="C2" s="9"/>
      <c r="D2" s="9"/>
      <c r="E2" s="9"/>
      <c r="F2" s="9"/>
      <c r="G2" s="9"/>
    </row>
    <row r="3" spans="1:7" x14ac:dyDescent="0.25">
      <c r="A3" s="9"/>
      <c r="B3" s="9"/>
      <c r="C3" s="9"/>
      <c r="D3" s="9"/>
      <c r="E3" s="9"/>
      <c r="F3" s="9"/>
      <c r="G3" s="9"/>
    </row>
    <row r="4" spans="1:7" x14ac:dyDescent="0.25">
      <c r="A4" s="9"/>
      <c r="B4" s="9"/>
      <c r="C4" s="9"/>
      <c r="D4" s="9"/>
      <c r="E4" s="9"/>
      <c r="F4" s="9"/>
      <c r="G4" s="9"/>
    </row>
    <row r="5" spans="1:7" x14ac:dyDescent="0.25">
      <c r="A5" s="9"/>
      <c r="B5" s="9"/>
      <c r="C5" s="9"/>
      <c r="D5" s="9"/>
      <c r="E5" s="9"/>
      <c r="F5" s="9"/>
      <c r="G5" s="9"/>
    </row>
    <row r="6" spans="1:7" ht="14.25" customHeight="1" x14ac:dyDescent="0.25">
      <c r="A6" s="9"/>
      <c r="B6" s="9"/>
      <c r="C6" s="9"/>
      <c r="D6" s="9"/>
      <c r="E6" s="9"/>
      <c r="F6" s="9"/>
      <c r="G6" s="9"/>
    </row>
    <row r="7" spans="1:7" hidden="1" x14ac:dyDescent="0.25">
      <c r="A7" s="9"/>
      <c r="B7" s="9"/>
      <c r="C7" s="9"/>
      <c r="D7" s="9"/>
      <c r="E7" s="9"/>
      <c r="F7" s="9"/>
      <c r="G7" s="9"/>
    </row>
    <row r="8" spans="1:7" ht="35.25" customHeight="1" x14ac:dyDescent="0.25">
      <c r="A8" s="9"/>
      <c r="B8" s="9"/>
      <c r="C8" s="9"/>
      <c r="D8" s="9"/>
      <c r="E8" s="9" t="s">
        <v>4</v>
      </c>
      <c r="F8" s="9"/>
      <c r="G8" s="9"/>
    </row>
    <row r="9" spans="1:7" ht="20.25" customHeight="1" thickBot="1" x14ac:dyDescent="0.3">
      <c r="A9" s="9"/>
      <c r="B9" s="9"/>
      <c r="C9" s="9"/>
      <c r="D9" s="9"/>
      <c r="E9" s="9"/>
      <c r="F9" s="9"/>
      <c r="G9" s="9"/>
    </row>
    <row r="10" spans="1:7" ht="35.25" customHeight="1" thickTop="1" thickBot="1" x14ac:dyDescent="0.3">
      <c r="A10" s="9"/>
      <c r="B10" s="9"/>
      <c r="C10" s="69" t="s">
        <v>36</v>
      </c>
      <c r="D10" s="70"/>
      <c r="E10" s="71"/>
      <c r="F10" s="9"/>
      <c r="G10" s="9"/>
    </row>
    <row r="11" spans="1:7" ht="35.25" customHeight="1" thickTop="1" thickBot="1" x14ac:dyDescent="0.4">
      <c r="A11" s="9"/>
      <c r="B11" s="9"/>
      <c r="C11" s="10" t="s">
        <v>35</v>
      </c>
      <c r="D11" s="11"/>
      <c r="E11" s="11"/>
      <c r="F11" s="9"/>
      <c r="G11" s="9"/>
    </row>
    <row r="12" spans="1:7" ht="16.5" customHeight="1" thickTop="1" thickBot="1" x14ac:dyDescent="0.3">
      <c r="A12" s="9"/>
      <c r="B12" s="9"/>
      <c r="C12" s="9"/>
      <c r="D12" s="9"/>
      <c r="E12" s="9"/>
      <c r="F12" s="9"/>
      <c r="G12" s="9"/>
    </row>
    <row r="13" spans="1:7" ht="29.25" customHeight="1" thickTop="1" x14ac:dyDescent="0.25">
      <c r="A13" s="9"/>
      <c r="B13" s="9"/>
      <c r="C13" s="45" t="s">
        <v>13</v>
      </c>
      <c r="D13" s="46"/>
      <c r="E13" s="47"/>
      <c r="F13" s="9"/>
      <c r="G13" s="9"/>
    </row>
    <row r="14" spans="1:7" ht="17.25" x14ac:dyDescent="0.3">
      <c r="A14" s="9"/>
      <c r="B14" s="9"/>
      <c r="C14" s="48" t="s">
        <v>14</v>
      </c>
      <c r="D14" s="49"/>
      <c r="E14" s="14">
        <v>5000</v>
      </c>
      <c r="F14" s="9"/>
      <c r="G14" s="9"/>
    </row>
    <row r="15" spans="1:7" ht="17.25" x14ac:dyDescent="0.3">
      <c r="A15" s="9"/>
      <c r="B15" s="9"/>
      <c r="C15" s="50" t="s">
        <v>15</v>
      </c>
      <c r="D15" s="51"/>
      <c r="E15" s="15">
        <v>1.0789999999999999E-2</v>
      </c>
      <c r="F15" s="9"/>
      <c r="G15" s="9"/>
    </row>
    <row r="16" spans="1:7" ht="18" thickBot="1" x14ac:dyDescent="0.35">
      <c r="A16" s="9"/>
      <c r="B16" s="9"/>
      <c r="C16" s="52" t="s">
        <v>16</v>
      </c>
      <c r="D16" s="53"/>
      <c r="E16" s="16">
        <f>E14*30%</f>
        <v>1500</v>
      </c>
      <c r="F16" s="9"/>
      <c r="G16" s="9"/>
    </row>
    <row r="17" spans="1:7" ht="16.5" thickTop="1" thickBot="1" x14ac:dyDescent="0.3">
      <c r="A17" s="9"/>
      <c r="B17" s="9"/>
      <c r="C17" s="9"/>
      <c r="D17" s="9"/>
      <c r="E17" s="9"/>
      <c r="F17" s="9"/>
      <c r="G17" s="9"/>
    </row>
    <row r="18" spans="1:7" ht="29.25" customHeight="1" thickTop="1" x14ac:dyDescent="0.25">
      <c r="A18" s="9"/>
      <c r="B18" s="9"/>
      <c r="C18" s="54" t="s">
        <v>5</v>
      </c>
      <c r="D18" s="55"/>
      <c r="E18" s="62"/>
      <c r="F18" s="9"/>
      <c r="G18" s="9"/>
    </row>
    <row r="19" spans="1:7" ht="28.5" customHeight="1" x14ac:dyDescent="0.3">
      <c r="A19" s="9"/>
      <c r="B19" s="9"/>
      <c r="C19" s="56" t="s">
        <v>0</v>
      </c>
      <c r="D19" s="57"/>
      <c r="E19" s="17">
        <v>200</v>
      </c>
      <c r="F19" s="12"/>
      <c r="G19" s="9"/>
    </row>
    <row r="20" spans="1:7" ht="17.25" x14ac:dyDescent="0.3">
      <c r="A20" s="9"/>
      <c r="B20" s="9"/>
      <c r="C20" s="56" t="s">
        <v>1</v>
      </c>
      <c r="D20" s="57"/>
      <c r="E20" s="18">
        <v>5</v>
      </c>
      <c r="F20" s="9"/>
      <c r="G20" s="9"/>
    </row>
    <row r="21" spans="1:7" ht="17.25" x14ac:dyDescent="0.3">
      <c r="A21" s="9"/>
      <c r="B21" s="9"/>
      <c r="C21" s="56" t="s">
        <v>2</v>
      </c>
      <c r="D21" s="57"/>
      <c r="E21" s="19">
        <v>1.0789999999999999E-2</v>
      </c>
      <c r="F21" s="9"/>
      <c r="G21" s="9"/>
    </row>
    <row r="22" spans="1:7" ht="17.25" x14ac:dyDescent="0.3">
      <c r="A22" s="9"/>
      <c r="B22" s="9"/>
      <c r="C22" s="58" t="s">
        <v>17</v>
      </c>
      <c r="D22" s="59"/>
      <c r="E22" s="21">
        <f>FV(taxa_mensal,12*qtde_anos,aporte*-1)</f>
        <v>16755.382799697527</v>
      </c>
      <c r="F22" s="9"/>
      <c r="G22" s="9"/>
    </row>
    <row r="23" spans="1:7" ht="18" thickBot="1" x14ac:dyDescent="0.35">
      <c r="A23" s="9"/>
      <c r="B23" s="9"/>
      <c r="C23" s="60" t="s">
        <v>3</v>
      </c>
      <c r="D23" s="61"/>
      <c r="E23" s="22">
        <f>patrimonio_acumulado*taxa_mensal</f>
        <v>180.7905804087363</v>
      </c>
      <c r="F23" s="9"/>
      <c r="G23" s="9"/>
    </row>
    <row r="24" spans="1:7" ht="16.5" thickTop="1" thickBot="1" x14ac:dyDescent="0.3">
      <c r="A24" s="9"/>
      <c r="B24" s="9"/>
      <c r="C24" s="9"/>
      <c r="D24" s="9"/>
      <c r="E24" s="9"/>
      <c r="F24" s="9"/>
      <c r="G24" s="9"/>
    </row>
    <row r="25" spans="1:7" ht="28.5" customHeight="1" thickTop="1" thickBot="1" x14ac:dyDescent="0.3">
      <c r="A25" s="9"/>
      <c r="B25" s="9"/>
      <c r="C25" s="75" t="s">
        <v>6</v>
      </c>
      <c r="D25" s="76"/>
      <c r="E25" s="73" t="s">
        <v>12</v>
      </c>
      <c r="F25" s="9"/>
      <c r="G25" s="9"/>
    </row>
    <row r="26" spans="1:7" ht="18" thickTop="1" x14ac:dyDescent="0.3">
      <c r="A26" s="9"/>
      <c r="B26" s="9"/>
      <c r="C26" s="23" t="s">
        <v>7</v>
      </c>
      <c r="D26" s="24">
        <f>FV($E$21,2*12,$E$19*-1)</f>
        <v>5445.5254595290435</v>
      </c>
      <c r="E26" s="25">
        <f>D26*rendimento_carteira</f>
        <v>58.757219708318374</v>
      </c>
      <c r="F26" s="9"/>
      <c r="G26" s="9"/>
    </row>
    <row r="27" spans="1:7" ht="17.25" x14ac:dyDescent="0.3">
      <c r="A27" s="9"/>
      <c r="B27" s="9"/>
      <c r="C27" s="20" t="s">
        <v>8</v>
      </c>
      <c r="D27" s="26">
        <f>FV($E$21,5*12,$E$19*-1)</f>
        <v>16755.382799697527</v>
      </c>
      <c r="E27" s="27">
        <f>D27*rendimento_carteira</f>
        <v>180.7905804087363</v>
      </c>
      <c r="F27" s="9"/>
      <c r="G27" s="9"/>
    </row>
    <row r="28" spans="1:7" ht="17.25" x14ac:dyDescent="0.3">
      <c r="A28" s="9"/>
      <c r="B28" s="9"/>
      <c r="C28" s="20" t="s">
        <v>9</v>
      </c>
      <c r="D28" s="26">
        <f>FV($E$21,10*12,$E$19*-1)</f>
        <v>48656.842506034438</v>
      </c>
      <c r="E28" s="27">
        <f>D28*rendimento_carteira</f>
        <v>525.0073306401116</v>
      </c>
      <c r="F28" s="9"/>
      <c r="G28" s="9"/>
    </row>
    <row r="29" spans="1:7" s="9" customFormat="1" ht="17.25" x14ac:dyDescent="0.3">
      <c r="C29" s="20" t="s">
        <v>10</v>
      </c>
      <c r="D29" s="26">
        <f>FV($E$21,20*12,$E$19*-1)</f>
        <v>225039.68001941612</v>
      </c>
      <c r="E29" s="27">
        <f>D29*rendimento_carteira</f>
        <v>2428.1781474094996</v>
      </c>
    </row>
    <row r="30" spans="1:7" s="9" customFormat="1" ht="18" thickBot="1" x14ac:dyDescent="0.35">
      <c r="C30" s="28" t="s">
        <v>11</v>
      </c>
      <c r="D30" s="29">
        <f>FV($E$21,30*12,$E$19*-1)</f>
        <v>864433.93100094295</v>
      </c>
      <c r="E30" s="30">
        <f>D30*rendimento_carteira</f>
        <v>9327.2421155001739</v>
      </c>
    </row>
    <row r="31" spans="1:7" s="9" customFormat="1" ht="16.5" thickTop="1" thickBot="1" x14ac:dyDescent="0.3">
      <c r="C31"/>
      <c r="D31"/>
      <c r="E31"/>
    </row>
    <row r="32" spans="1:7" s="9" customFormat="1" ht="29.25" customHeight="1" thickTop="1" x14ac:dyDescent="0.25">
      <c r="C32" s="13" t="s">
        <v>18</v>
      </c>
      <c r="D32" s="41" t="s">
        <v>19</v>
      </c>
      <c r="E32" s="42"/>
    </row>
    <row r="33" spans="3:5" s="9" customFormat="1" ht="21.75" customHeight="1" thickBot="1" x14ac:dyDescent="0.35">
      <c r="C33" s="31" t="s">
        <v>20</v>
      </c>
      <c r="D33" s="43">
        <f>aporte</f>
        <v>200</v>
      </c>
      <c r="E33" s="44"/>
    </row>
    <row r="34" spans="3:5" s="9" customFormat="1" ht="16.5" thickTop="1" thickBot="1" x14ac:dyDescent="0.3"/>
    <row r="35" spans="3:5" s="9" customFormat="1" ht="33" customHeight="1" thickTop="1" thickBot="1" x14ac:dyDescent="0.3">
      <c r="C35" s="74" t="s">
        <v>21</v>
      </c>
      <c r="D35" s="72" t="s">
        <v>22</v>
      </c>
      <c r="E35" s="73" t="s">
        <v>23</v>
      </c>
    </row>
    <row r="36" spans="3:5" s="9" customFormat="1" ht="18" thickTop="1" x14ac:dyDescent="0.3">
      <c r="C36" s="32" t="s">
        <v>24</v>
      </c>
      <c r="D36" s="33">
        <f>VLOOKUP($D$32&amp;"-"&amp;C36,Planilha2!$B$5:$E$22,4,)</f>
        <v>0.5</v>
      </c>
      <c r="E36" s="34">
        <f>$D$33*D36</f>
        <v>100</v>
      </c>
    </row>
    <row r="37" spans="3:5" s="9" customFormat="1" ht="17.25" x14ac:dyDescent="0.3">
      <c r="C37" s="35" t="s">
        <v>25</v>
      </c>
      <c r="D37" s="36">
        <f>VLOOKUP($D$32&amp;"-"&amp;C37,Planilha2!$B$5:$E$22,4,)</f>
        <v>0.3</v>
      </c>
      <c r="E37" s="37">
        <f t="shared" ref="E37:E41" si="0">$D$33*D37</f>
        <v>60</v>
      </c>
    </row>
    <row r="38" spans="3:5" s="9" customFormat="1" ht="17.25" x14ac:dyDescent="0.3">
      <c r="C38" s="35" t="s">
        <v>26</v>
      </c>
      <c r="D38" s="36">
        <f>VLOOKUP($D$32&amp;"-"&amp;C38,Planilha2!$B$5:$E$22,4,)</f>
        <v>0.1</v>
      </c>
      <c r="E38" s="37">
        <f t="shared" si="0"/>
        <v>20</v>
      </c>
    </row>
    <row r="39" spans="3:5" s="9" customFormat="1" ht="17.25" x14ac:dyDescent="0.3">
      <c r="C39" s="35" t="s">
        <v>27</v>
      </c>
      <c r="D39" s="36">
        <f>VLOOKUP($D$32&amp;"-"&amp;C39,Planilha2!$B$5:$E$22,4,)</f>
        <v>0.1</v>
      </c>
      <c r="E39" s="37">
        <f t="shared" si="0"/>
        <v>20</v>
      </c>
    </row>
    <row r="40" spans="3:5" s="9" customFormat="1" ht="17.25" x14ac:dyDescent="0.3">
      <c r="C40" s="35" t="s">
        <v>28</v>
      </c>
      <c r="D40" s="36">
        <f>VLOOKUP($D$32&amp;"-"&amp;C40,Planilha2!$B$5:$E$22,4,)</f>
        <v>0</v>
      </c>
      <c r="E40" s="37">
        <f t="shared" si="0"/>
        <v>0</v>
      </c>
    </row>
    <row r="41" spans="3:5" s="9" customFormat="1" ht="17.25" x14ac:dyDescent="0.3">
      <c r="C41" s="35" t="s">
        <v>29</v>
      </c>
      <c r="D41" s="36">
        <f>VLOOKUP($D$32&amp;"-"&amp;C41,Planilha2!$B$5:$E$22,4,)</f>
        <v>0</v>
      </c>
      <c r="E41" s="37">
        <f t="shared" si="0"/>
        <v>0</v>
      </c>
    </row>
    <row r="42" spans="3:5" s="9" customFormat="1" ht="18" thickBot="1" x14ac:dyDescent="0.35">
      <c r="C42" s="38" t="s">
        <v>30</v>
      </c>
      <c r="D42" s="39"/>
      <c r="E42" s="40">
        <f>SUM(E36:E41)</f>
        <v>200</v>
      </c>
    </row>
    <row r="43" spans="3:5" s="9" customFormat="1" ht="15.75" thickTop="1" x14ac:dyDescent="0.25"/>
    <row r="44" spans="3:5" s="9" customFormat="1" x14ac:dyDescent="0.25"/>
    <row r="45" spans="3:5" s="9" customFormat="1" x14ac:dyDescent="0.25"/>
    <row r="46" spans="3:5" s="9" customFormat="1" x14ac:dyDescent="0.25"/>
    <row r="47" spans="3:5" s="9" customFormat="1" x14ac:dyDescent="0.25"/>
    <row r="48" spans="3:5" s="9" customFormat="1" x14ac:dyDescent="0.25"/>
    <row r="49" spans="1:7" x14ac:dyDescent="0.25">
      <c r="A49" s="9"/>
      <c r="B49" s="9"/>
      <c r="C49" s="9"/>
      <c r="D49" s="9"/>
      <c r="E49" s="9"/>
      <c r="F49" s="9"/>
      <c r="G49" s="9"/>
    </row>
    <row r="50" spans="1:7" x14ac:dyDescent="0.25">
      <c r="A50" s="9"/>
      <c r="B50" s="9"/>
      <c r="C50" s="9"/>
      <c r="D50" s="9"/>
      <c r="E50" s="9"/>
      <c r="F50" s="9"/>
      <c r="G50" s="9"/>
    </row>
    <row r="51" spans="1:7" x14ac:dyDescent="0.25">
      <c r="A51" s="9"/>
      <c r="B51" s="9"/>
      <c r="C51" s="9"/>
      <c r="D51" s="9"/>
      <c r="E51" s="9"/>
      <c r="F51" s="9"/>
      <c r="G51" s="9"/>
    </row>
    <row r="52" spans="1:7" x14ac:dyDescent="0.25">
      <c r="A52" s="9"/>
      <c r="B52" s="9"/>
      <c r="C52" s="9"/>
      <c r="D52" s="9"/>
      <c r="E52" s="9"/>
      <c r="F52" s="9"/>
      <c r="G52" s="9"/>
    </row>
    <row r="53" spans="1:7" x14ac:dyDescent="0.25">
      <c r="A53" s="9"/>
      <c r="B53" s="9"/>
      <c r="C53" s="9"/>
      <c r="D53" s="9"/>
      <c r="E53" s="9"/>
      <c r="F53" s="9"/>
      <c r="G53" s="9"/>
    </row>
    <row r="54" spans="1:7" x14ac:dyDescent="0.25">
      <c r="A54" s="9"/>
      <c r="B54" s="9"/>
      <c r="C54" s="9"/>
      <c r="D54" s="9"/>
      <c r="E54" s="9"/>
      <c r="F54" s="9"/>
      <c r="G54" s="9"/>
    </row>
    <row r="55" spans="1:7" x14ac:dyDescent="0.25">
      <c r="A55" s="9"/>
      <c r="B55" s="9"/>
      <c r="C55" s="9"/>
      <c r="D55" s="9"/>
      <c r="E55" s="9"/>
      <c r="F55" s="9"/>
      <c r="G55" s="9"/>
    </row>
    <row r="56" spans="1:7" x14ac:dyDescent="0.25">
      <c r="A56" s="9"/>
      <c r="B56" s="9"/>
      <c r="C56" s="9"/>
      <c r="D56" s="9"/>
      <c r="E56" s="9"/>
      <c r="F56" s="9"/>
      <c r="G56" s="9"/>
    </row>
    <row r="57" spans="1:7" x14ac:dyDescent="0.25">
      <c r="A57" s="9"/>
      <c r="B57" s="9"/>
      <c r="C57" s="9"/>
      <c r="D57" s="9"/>
      <c r="E57" s="9"/>
      <c r="F57" s="9"/>
      <c r="G57" s="9"/>
    </row>
    <row r="58" spans="1:7" s="9" customFormat="1" x14ac:dyDescent="0.25"/>
    <row r="59" spans="1:7" s="9" customFormat="1" x14ac:dyDescent="0.25"/>
    <row r="60" spans="1:7" s="9" customFormat="1" x14ac:dyDescent="0.25"/>
    <row r="61" spans="1:7" s="9" customFormat="1" x14ac:dyDescent="0.25"/>
    <row r="62" spans="1:7" s="9" customFormat="1" x14ac:dyDescent="0.25"/>
    <row r="65" customFormat="1" hidden="1" x14ac:dyDescent="0.25"/>
    <row r="66" customFormat="1" hidden="1" x14ac:dyDescent="0.25"/>
    <row r="67" customFormat="1" hidden="1" x14ac:dyDescent="0.25"/>
    <row r="68" customFormat="1" hidden="1" x14ac:dyDescent="0.25"/>
    <row r="69" customFormat="1" hidden="1" x14ac:dyDescent="0.25"/>
    <row r="70" customFormat="1" hidden="1" x14ac:dyDescent="0.25"/>
    <row r="71" customFormat="1" hidden="1" x14ac:dyDescent="0.25"/>
    <row r="72" customFormat="1" hidden="1" x14ac:dyDescent="0.25"/>
    <row r="73" customFormat="1" hidden="1" x14ac:dyDescent="0.25"/>
    <row r="74" customFormat="1" hidden="1" x14ac:dyDescent="0.25"/>
    <row r="75" customFormat="1" hidden="1" x14ac:dyDescent="0.25"/>
  </sheetData>
  <mergeCells count="14">
    <mergeCell ref="D32:E32"/>
    <mergeCell ref="D33:E33"/>
    <mergeCell ref="C13:E13"/>
    <mergeCell ref="C14:D14"/>
    <mergeCell ref="C15:D15"/>
    <mergeCell ref="C16:D16"/>
    <mergeCell ref="C25:D25"/>
    <mergeCell ref="C19:D19"/>
    <mergeCell ref="C20:D20"/>
    <mergeCell ref="C21:D21"/>
    <mergeCell ref="C22:D22"/>
    <mergeCell ref="C23:D23"/>
    <mergeCell ref="C18:E18"/>
    <mergeCell ref="C10:D10"/>
  </mergeCells>
  <conditionalFormatting sqref="D32:E32">
    <cfRule type="containsText" dxfId="11" priority="4" operator="containsText" text="Agressivo">
      <formula>NOT(ISERROR(SEARCH("Agressivo",D32)))</formula>
    </cfRule>
    <cfRule type="containsText" dxfId="10" priority="5" operator="containsText" text="Moderado">
      <formula>NOT(ISERROR(SEARCH("Moderado",D32)))</formula>
    </cfRule>
    <cfRule type="containsText" dxfId="9" priority="6" operator="containsText" text="Conservador">
      <formula>NOT(ISERROR(SEARCH("Conservador",D32)))</formula>
    </cfRule>
  </conditionalFormatting>
  <conditionalFormatting sqref="C10:E10">
    <cfRule type="containsText" dxfId="8" priority="1" operator="containsText" text="Agressivo">
      <formula>NOT(ISERROR(SEARCH("Agressivo",C10)))</formula>
    </cfRule>
    <cfRule type="containsText" dxfId="7" priority="2" operator="containsText" text="Moderado">
      <formula>NOT(ISERROR(SEARCH("Moderado",C10)))</formula>
    </cfRule>
    <cfRule type="containsText" dxfId="6" priority="3" operator="containsText" text="Conservador">
      <formula>NOT(ISERROR(SEARCH("Conservador",C10)))</formula>
    </cfRule>
  </conditionalFormatting>
  <dataValidations xWindow="605" yWindow="821" count="1">
    <dataValidation type="list" allowBlank="1" showInputMessage="1" showErrorMessage="1" errorTitle="Erro" error="Escolha um Perfil" promptTitle="Perfil de Investidor" prompt="Selecione um Perfil " sqref="D32:E32" xr:uid="{4BF3CC85-486D-465D-B21E-EE33D33DF805}">
      <formula1>"Conservador,Moderado,Agressivo"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D86053-7891-4BB1-91E9-15E412A1C54C}">
  <dimension ref="B2:I22"/>
  <sheetViews>
    <sheetView topLeftCell="A63" workbookViewId="0">
      <selection activeCell="E29" sqref="E29"/>
    </sheetView>
  </sheetViews>
  <sheetFormatPr defaultRowHeight="15" x14ac:dyDescent="0.25"/>
  <cols>
    <col min="2" max="2" width="33.5703125" customWidth="1"/>
    <col min="3" max="3" width="19.42578125" customWidth="1"/>
    <col min="4" max="4" width="24.85546875" customWidth="1"/>
    <col min="5" max="5" width="31.140625" customWidth="1"/>
    <col min="8" max="8" width="26.140625" customWidth="1"/>
    <col min="9" max="9" width="28.5703125" customWidth="1"/>
  </cols>
  <sheetData>
    <row r="2" spans="2:9" ht="26.25" customHeight="1" x14ac:dyDescent="0.25">
      <c r="B2" s="67" t="s">
        <v>37</v>
      </c>
      <c r="C2" s="68"/>
      <c r="D2" s="68"/>
      <c r="E2" s="68"/>
    </row>
    <row r="3" spans="2:9" ht="15.75" thickBot="1" x14ac:dyDescent="0.3">
      <c r="H3" s="1"/>
      <c r="I3" s="1"/>
    </row>
    <row r="4" spans="2:9" ht="21" thickTop="1" x14ac:dyDescent="0.35">
      <c r="B4" s="63" t="s">
        <v>32</v>
      </c>
      <c r="C4" s="64" t="s">
        <v>31</v>
      </c>
      <c r="D4" s="64" t="s">
        <v>21</v>
      </c>
      <c r="E4" s="64" t="s">
        <v>22</v>
      </c>
    </row>
    <row r="5" spans="2:9" x14ac:dyDescent="0.25">
      <c r="B5" s="2" t="str">
        <f>C5&amp;"-"&amp;D5</f>
        <v>Conservador-PAPEL</v>
      </c>
      <c r="C5" s="1" t="s">
        <v>19</v>
      </c>
      <c r="D5" s="1" t="s">
        <v>24</v>
      </c>
      <c r="E5" s="3">
        <v>0.5</v>
      </c>
      <c r="I5" s="8"/>
    </row>
    <row r="6" spans="2:9" x14ac:dyDescent="0.25">
      <c r="B6" s="2" t="str">
        <f t="shared" ref="B6:B22" si="0">C6&amp;"-"&amp;D6</f>
        <v>Conservador-TIJOLO</v>
      </c>
      <c r="C6" s="1" t="s">
        <v>19</v>
      </c>
      <c r="D6" s="1" t="s">
        <v>25</v>
      </c>
      <c r="E6" s="3">
        <v>0.3</v>
      </c>
    </row>
    <row r="7" spans="2:9" x14ac:dyDescent="0.25">
      <c r="B7" s="2" t="str">
        <f t="shared" si="0"/>
        <v>Conservador-HÍBRIDO</v>
      </c>
      <c r="C7" s="1" t="s">
        <v>19</v>
      </c>
      <c r="D7" s="1" t="s">
        <v>26</v>
      </c>
      <c r="E7" s="3">
        <v>0.1</v>
      </c>
    </row>
    <row r="8" spans="2:9" x14ac:dyDescent="0.25">
      <c r="B8" s="2" t="str">
        <f t="shared" si="0"/>
        <v>Conservador-FOFs</v>
      </c>
      <c r="C8" s="1" t="s">
        <v>19</v>
      </c>
      <c r="D8" s="1" t="s">
        <v>27</v>
      </c>
      <c r="E8" s="3">
        <v>0.1</v>
      </c>
    </row>
    <row r="9" spans="2:9" x14ac:dyDescent="0.25">
      <c r="B9" s="2" t="str">
        <f t="shared" si="0"/>
        <v>Conservador-DESENVOLVIMENTO</v>
      </c>
      <c r="C9" s="1" t="s">
        <v>19</v>
      </c>
      <c r="D9" s="1" t="s">
        <v>28</v>
      </c>
      <c r="E9" s="3">
        <v>0</v>
      </c>
    </row>
    <row r="10" spans="2:9" ht="15.75" thickBot="1" x14ac:dyDescent="0.3">
      <c r="B10" s="65" t="str">
        <f t="shared" si="0"/>
        <v>Conservador-HOTELARIA</v>
      </c>
      <c r="C10" s="4" t="s">
        <v>19</v>
      </c>
      <c r="D10" s="4" t="s">
        <v>29</v>
      </c>
      <c r="E10" s="5">
        <v>0</v>
      </c>
    </row>
    <row r="11" spans="2:9" x14ac:dyDescent="0.25">
      <c r="B11" s="2" t="str">
        <f t="shared" si="0"/>
        <v>Moderado-PAPEL</v>
      </c>
      <c r="C11" s="1" t="s">
        <v>33</v>
      </c>
      <c r="D11" s="1" t="s">
        <v>24</v>
      </c>
      <c r="E11" s="3">
        <v>0.32</v>
      </c>
    </row>
    <row r="12" spans="2:9" x14ac:dyDescent="0.25">
      <c r="B12" s="2" t="str">
        <f t="shared" si="0"/>
        <v>Moderado-TIJOLO</v>
      </c>
      <c r="C12" s="1" t="s">
        <v>33</v>
      </c>
      <c r="D12" s="1" t="s">
        <v>25</v>
      </c>
      <c r="E12" s="3">
        <v>0.35</v>
      </c>
    </row>
    <row r="13" spans="2:9" x14ac:dyDescent="0.25">
      <c r="B13" s="2" t="str">
        <f t="shared" si="0"/>
        <v>Moderado-HÍBRIDO</v>
      </c>
      <c r="C13" s="1" t="s">
        <v>33</v>
      </c>
      <c r="D13" s="1" t="s">
        <v>26</v>
      </c>
      <c r="E13" s="3">
        <v>0.08</v>
      </c>
    </row>
    <row r="14" spans="2:9" x14ac:dyDescent="0.25">
      <c r="B14" s="2" t="str">
        <f t="shared" si="0"/>
        <v>Moderado-FOFs</v>
      </c>
      <c r="C14" s="1" t="s">
        <v>33</v>
      </c>
      <c r="D14" s="1" t="s">
        <v>27</v>
      </c>
      <c r="E14" s="3">
        <v>0.05</v>
      </c>
    </row>
    <row r="15" spans="2:9" x14ac:dyDescent="0.25">
      <c r="B15" s="2" t="str">
        <f t="shared" si="0"/>
        <v>Moderado-DESENVOLVIMENTO</v>
      </c>
      <c r="C15" s="1" t="s">
        <v>33</v>
      </c>
      <c r="D15" s="1" t="s">
        <v>28</v>
      </c>
      <c r="E15" s="3">
        <v>0.1</v>
      </c>
    </row>
    <row r="16" spans="2:9" ht="15.75" thickBot="1" x14ac:dyDescent="0.3">
      <c r="B16" s="65" t="str">
        <f t="shared" si="0"/>
        <v>Moderado-HOTELARIA</v>
      </c>
      <c r="C16" s="4" t="s">
        <v>33</v>
      </c>
      <c r="D16" s="4" t="s">
        <v>29</v>
      </c>
      <c r="E16" s="6">
        <v>0.1</v>
      </c>
    </row>
    <row r="17" spans="2:5" x14ac:dyDescent="0.25">
      <c r="B17" s="2" t="str">
        <f t="shared" si="0"/>
        <v>Agressivo-PAPEL</v>
      </c>
      <c r="C17" s="1" t="s">
        <v>34</v>
      </c>
      <c r="D17" s="1" t="s">
        <v>24</v>
      </c>
      <c r="E17" s="7">
        <v>0.5</v>
      </c>
    </row>
    <row r="18" spans="2:5" x14ac:dyDescent="0.25">
      <c r="B18" s="2" t="str">
        <f t="shared" si="0"/>
        <v>Agressivo-TIJOLO</v>
      </c>
      <c r="C18" s="1" t="s">
        <v>34</v>
      </c>
      <c r="D18" s="1" t="s">
        <v>25</v>
      </c>
      <c r="E18" s="7">
        <v>0.1</v>
      </c>
    </row>
    <row r="19" spans="2:5" x14ac:dyDescent="0.25">
      <c r="B19" s="2" t="str">
        <f t="shared" si="0"/>
        <v>Agressivo-HÍBRIDO</v>
      </c>
      <c r="C19" s="1" t="s">
        <v>34</v>
      </c>
      <c r="D19" s="1" t="s">
        <v>26</v>
      </c>
      <c r="E19" s="7">
        <v>0.05</v>
      </c>
    </row>
    <row r="20" spans="2:5" x14ac:dyDescent="0.25">
      <c r="B20" s="2" t="str">
        <f t="shared" si="0"/>
        <v>Agressivo-FOFs</v>
      </c>
      <c r="C20" s="1" t="s">
        <v>34</v>
      </c>
      <c r="D20" s="1" t="s">
        <v>27</v>
      </c>
      <c r="E20" s="7">
        <v>0.05</v>
      </c>
    </row>
    <row r="21" spans="2:5" x14ac:dyDescent="0.25">
      <c r="B21" s="2" t="str">
        <f t="shared" si="0"/>
        <v>Agressivo-DESENVOLVIMENTO</v>
      </c>
      <c r="C21" s="1" t="s">
        <v>34</v>
      </c>
      <c r="D21" s="1" t="s">
        <v>28</v>
      </c>
      <c r="E21" s="7">
        <v>0.2</v>
      </c>
    </row>
    <row r="22" spans="2:5" ht="15.75" thickBot="1" x14ac:dyDescent="0.3">
      <c r="B22" s="65" t="str">
        <f t="shared" si="0"/>
        <v>Agressivo-HOTELARIA</v>
      </c>
      <c r="C22" s="4" t="s">
        <v>34</v>
      </c>
      <c r="D22" s="4" t="s">
        <v>29</v>
      </c>
      <c r="E22" s="66">
        <v>0.1</v>
      </c>
    </row>
  </sheetData>
  <mergeCells count="1">
    <mergeCell ref="B2:E2"/>
  </mergeCells>
  <conditionalFormatting sqref="B4:E4">
    <cfRule type="containsText" dxfId="5" priority="4" operator="containsText" text="Agressivo">
      <formula>NOT(ISERROR(SEARCH("Agressivo",B4)))</formula>
    </cfRule>
    <cfRule type="containsText" dxfId="4" priority="5" operator="containsText" text="Moderado">
      <formula>NOT(ISERROR(SEARCH("Moderado",B4)))</formula>
    </cfRule>
    <cfRule type="containsText" dxfId="3" priority="6" operator="containsText" text="Conservador">
      <formula>NOT(ISERROR(SEARCH("Conservador",B4)))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Planilha1</vt:lpstr>
      <vt:lpstr>Planilha2</vt:lpstr>
      <vt:lpstr>aporte</vt:lpstr>
      <vt:lpstr>patrimonio_acumulado</vt:lpstr>
      <vt:lpstr>qtde_anos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Claudia Salomao Claudia</dc:creator>
  <cp:lastModifiedBy>Claudia Salomao Claudia</cp:lastModifiedBy>
  <dcterms:created xsi:type="dcterms:W3CDTF">2026-08-27T13:20:32Z</dcterms:created>
  <dcterms:modified xsi:type="dcterms:W3CDTF">2026-09-02T22:16:25Z</dcterms:modified>
</cp:coreProperties>
</file>